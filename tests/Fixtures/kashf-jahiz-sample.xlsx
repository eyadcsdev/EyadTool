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<sst xmlns="http://schemas.openxmlformats.org/spreadsheetml/2006/main" count="45" uniqueCount="45">
  <si>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رقم الطالب</t>
  </si>
  <si>
    <t xml:space="preserve">اسم الطالب</t>
  </si>
  <si>
    <t xml:space="preserve">Quiz1 5</t>
  </si>
  <si>
    <t xml:space="preserve">Quiz2 5</t>
  </si>
  <si>
    <t xml:space="preserve">Quiz3 5</t>
  </si>
  <si>
    <t xml:space="preserve">Quiz 10%</t>
  </si>
  <si>
    <t xml:space="preserve">Atted 5%</t>
  </si>
  <si>
    <t xml:space="preserve">presention 10%</t>
  </si>
  <si>
    <t xml:space="preserve">H.W 5 %</t>
  </si>
  <si>
    <t xml:space="preserve">Dectation 5 %</t>
  </si>
  <si>
    <t xml:space="preserve">mid 15 %</t>
  </si>
  <si>
    <t xml:space="preserve">Oral Test 15%</t>
  </si>
  <si>
    <t xml:space="preserve">story 5%</t>
  </si>
  <si>
    <t xml:space="preserve">final 30%</t>
  </si>
  <si>
    <t>100</t>
  </si>
  <si>
    <t xml:space="preserve">ابراهيم خالد محمد هيكل</t>
  </si>
  <si>
    <t xml:space="preserve">اشراق عزي علي محمد يعقوب</t>
  </si>
  <si>
    <t xml:space="preserve">اصاله مساعد يحيئ برمان</t>
  </si>
  <si>
    <t xml:space="preserve">افنان علي حسن ناجي السعيدي</t>
  </si>
  <si>
    <t xml:space="preserve">المويد محمد محسن الشباطي</t>
  </si>
  <si>
    <t xml:space="preserve">امة الله عبدالله محمد عضابي</t>
  </si>
  <si>
    <t xml:space="preserve">امجد فارس ثابت الشريفي</t>
  </si>
  <si>
    <t xml:space="preserve">ايمان سليم محفوظ علاو</t>
  </si>
  <si>
    <t xml:space="preserve">تسنيم سفيان علي سنان</t>
  </si>
  <si>
    <t xml:space="preserve">حليمة صالح احمد الطعيز</t>
  </si>
  <si>
    <t xml:space="preserve">حمزة قيس حمود الحكيم</t>
  </si>
  <si>
    <t xml:space="preserve">خلود يحيى محسن عويضان</t>
  </si>
  <si>
    <t xml:space="preserve">خليفة جلال الدين عبدالله</t>
  </si>
  <si>
    <t xml:space="preserve">زكرياء عبدالله صالح البكير</t>
  </si>
  <si>
    <t xml:space="preserve">زهراء حسن علي القديمي</t>
  </si>
  <si>
    <t xml:space="preserve">سندس محمد حمود القدسي</t>
  </si>
  <si>
    <t xml:space="preserve">شذى حسين عبدالقوي الصوفي</t>
  </si>
  <si>
    <t xml:space="preserve">شيماء احمد صالح علي الجبر</t>
  </si>
  <si>
    <t xml:space="preserve">ضياء زايد هاشم القواتي</t>
  </si>
  <si>
    <t xml:space="preserve">عادل ذياب علي عامر مجيديع</t>
  </si>
  <si>
    <t xml:space="preserve">عبدالله محبوب عبدالقيوم ثابت</t>
  </si>
  <si>
    <t xml:space="preserve">عبدالملك عبدالله يوسف ناجي دريم</t>
  </si>
  <si>
    <t xml:space="preserve">فاطمة سفيان علي سنان</t>
  </si>
  <si>
    <t xml:space="preserve">محمد شايف محمد احمد المسلمي</t>
  </si>
  <si>
    <t xml:space="preserve">محمد عبدالعزيز محمد صلاح</t>
  </si>
  <si>
    <t xml:space="preserve">ناجي فاروق صالح الصباري</t>
  </si>
  <si>
    <t xml:space="preserve">نبيله صدام مبخوت العسكري</t>
  </si>
  <si>
    <t xml:space="preserve">نصر يوسف ناجي البركاني</t>
  </si>
  <si>
    <t xml:space="preserve">وسام عبده سالم غالب</t>
  </si>
  <si>
    <t xml:space="preserve">وسيم محمد صالح العليي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</si>
</sst>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b/>
      <sz val="10.000000"/>
      <name val="Helvetica"/>
    </font>
    <font>
      <sz val="10.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wrapText="1"/>
    </xf>
    <xf fontId="1" fillId="2" borderId="1" numFmtId="0" xfId="0" applyFont="1" applyFill="1" applyBorder="1" applyAlignment="1">
      <alignment vertical="center" wrapText="1"/>
    </xf>
    <xf fontId="2" fillId="0" borderId="1" numFmtId="0" xfId="0" applyFont="1" applyBorder="1" applyAlignment="1">
      <alignment wrapText="1"/>
    </xf>
    <xf fontId="2" fillId="0" borderId="1" numFmtId="0" xfId="0" applyFont="1" applyBorder="1" applyAlignment="1">
      <alignment horizont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1" view="pageBreakPreview" topLeftCell="A1" zoomScale="106" workbookViewId="0">
      <pane ySplit="1" topLeftCell="A2" activePane="bottomLeft" state="frozen"/>
      <selection activeCell="A2" activeCellId="0" sqref="2:2"/>
    </sheetView>
  </sheetViews>
  <sheetFormatPr defaultRowHeight="14.25"/>
  <cols>
    <col bestFit="1" customWidth="1" min="1" max="1" width="14.140625"/>
    <col bestFit="1" customWidth="1" min="2" max="2" width="39"/>
    <col customWidth="1" min="3" max="5" width="9.140625"/>
    <col customWidth="1" min="6" max="6" width="9.140625"/>
    <col bestFit="1" customWidth="1" min="7" max="7" width="11.85546875"/>
    <col bestFit="1" customWidth="1" min="8" max="9" width="9.42578125"/>
  </cols>
  <sheetData>
    <row r="1" ht="3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.100000000000001" customHeight="1">
      <c r="A2" s="3">
        <v>4920</v>
      </c>
      <c r="B2" s="3" t="s">
        <v>15</v>
      </c>
      <c r="C2" s="3">
        <v>5</v>
      </c>
      <c r="D2" s="3">
        <v>4</v>
      </c>
      <c r="E2" s="3">
        <v>3</v>
      </c>
      <c r="F2" s="3">
        <f>ROUND((SUM(C2:E2)/3)*2,0)</f>
        <v>8</v>
      </c>
      <c r="G2" s="4">
        <v>3</v>
      </c>
      <c r="H2" s="3">
        <v>0</v>
      </c>
      <c r="I2" s="3">
        <v>5</v>
      </c>
      <c r="J2">
        <v>2</v>
      </c>
      <c r="K2">
        <v>10</v>
      </c>
      <c r="L2">
        <v>0</v>
      </c>
      <c r="M2">
        <v>0</v>
      </c>
      <c r="N2">
        <v>0</v>
      </c>
      <c r="O2">
        <f>SUM(F2:N2)</f>
        <v>28</v>
      </c>
    </row>
    <row r="3" ht="20.100000000000001" customHeight="1">
      <c r="A3" s="3">
        <v>4733</v>
      </c>
      <c r="B3" s="3" t="s">
        <v>16</v>
      </c>
      <c r="C3" s="3">
        <v>5</v>
      </c>
      <c r="D3" s="3">
        <v>4</v>
      </c>
      <c r="E3" s="3">
        <v>3</v>
      </c>
      <c r="F3" s="3">
        <f>ROUND((SUM(C3:E3)/3)*2,0)</f>
        <v>8</v>
      </c>
      <c r="G3" s="4">
        <v>5</v>
      </c>
      <c r="H3" s="3">
        <v>10</v>
      </c>
      <c r="I3" s="3">
        <v>5</v>
      </c>
      <c r="J3">
        <v>4</v>
      </c>
      <c r="K3">
        <v>13</v>
      </c>
      <c r="L3">
        <v>0</v>
      </c>
      <c r="M3">
        <v>5</v>
      </c>
      <c r="N3">
        <v>19</v>
      </c>
      <c r="O3">
        <f>SUM(F3:N3)</f>
        <v>69</v>
      </c>
    </row>
    <row r="4" ht="20.100000000000001" customHeight="1">
      <c r="A4" s="3">
        <v>5576</v>
      </c>
      <c r="B4" s="3" t="s">
        <v>17</v>
      </c>
      <c r="C4" s="3">
        <v>5</v>
      </c>
      <c r="D4" s="3">
        <v>4</v>
      </c>
      <c r="E4" s="3">
        <v>3</v>
      </c>
      <c r="F4" s="3">
        <f>ROUND((SUM(C4:E4)/3)*2,0)</f>
        <v>8</v>
      </c>
      <c r="G4" s="4">
        <v>5</v>
      </c>
      <c r="H4" s="3">
        <v>10</v>
      </c>
      <c r="I4" s="3">
        <v>5</v>
      </c>
      <c r="J4">
        <v>5</v>
      </c>
      <c r="K4">
        <v>15</v>
      </c>
      <c r="L4">
        <v>15</v>
      </c>
      <c r="M4">
        <v>5</v>
      </c>
      <c r="N4">
        <v>29</v>
      </c>
      <c r="O4">
        <f>SUM(F4:N4)</f>
        <v>97</v>
      </c>
    </row>
    <row r="5" ht="20.100000000000001" customHeight="1">
      <c r="A5" s="3">
        <v>4913</v>
      </c>
      <c r="B5" s="3" t="s">
        <v>18</v>
      </c>
      <c r="C5" s="3">
        <v>5</v>
      </c>
      <c r="D5" s="3">
        <v>4</v>
      </c>
      <c r="E5" s="3">
        <v>3</v>
      </c>
      <c r="F5" s="3">
        <f>ROUND((SUM(C5:E5)/3)*2,0)</f>
        <v>8</v>
      </c>
      <c r="G5" s="4">
        <v>0</v>
      </c>
      <c r="H5" s="3">
        <v>0</v>
      </c>
      <c r="I5" s="3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>SUM(F5:N5)</f>
        <v>8</v>
      </c>
    </row>
    <row r="6" ht="20.100000000000001" customHeight="1">
      <c r="A6" s="3">
        <v>5351</v>
      </c>
      <c r="B6" s="3" t="s">
        <v>19</v>
      </c>
      <c r="C6" s="3">
        <v>5</v>
      </c>
      <c r="D6" s="3">
        <v>4</v>
      </c>
      <c r="E6" s="3">
        <v>3</v>
      </c>
      <c r="F6" s="3">
        <f>ROUND((SUM(C6:E6)/3)*2,0)</f>
        <v>8</v>
      </c>
      <c r="G6" s="4">
        <v>5</v>
      </c>
      <c r="H6" s="3">
        <v>10</v>
      </c>
      <c r="I6" s="3">
        <v>5</v>
      </c>
      <c r="J6">
        <v>5</v>
      </c>
      <c r="K6">
        <v>15</v>
      </c>
      <c r="L6">
        <v>15</v>
      </c>
      <c r="M6">
        <v>5</v>
      </c>
      <c r="N6">
        <v>27</v>
      </c>
      <c r="O6">
        <f>SUM(F6:N6)</f>
        <v>95</v>
      </c>
    </row>
    <row r="7" ht="20.100000000000001" customHeight="1">
      <c r="A7" s="3">
        <v>4771</v>
      </c>
      <c r="B7" s="3" t="s">
        <v>20</v>
      </c>
      <c r="C7" s="3">
        <v>5</v>
      </c>
      <c r="D7" s="3">
        <v>4</v>
      </c>
      <c r="E7" s="3">
        <v>3</v>
      </c>
      <c r="F7" s="3">
        <f>ROUND((SUM(C7:E7)/3)*2,0)</f>
        <v>8</v>
      </c>
      <c r="G7" s="4">
        <v>4</v>
      </c>
      <c r="H7" s="3">
        <v>10</v>
      </c>
      <c r="I7" s="3">
        <v>3</v>
      </c>
      <c r="J7">
        <v>4</v>
      </c>
      <c r="K7">
        <v>11</v>
      </c>
      <c r="L7">
        <v>0</v>
      </c>
      <c r="M7">
        <v>5</v>
      </c>
      <c r="N7">
        <v>20</v>
      </c>
      <c r="O7">
        <f>SUM(F7:N7)</f>
        <v>65</v>
      </c>
    </row>
    <row r="8" ht="20.100000000000001" customHeight="1">
      <c r="A8" s="3">
        <v>1423</v>
      </c>
      <c r="B8" s="3" t="s">
        <v>21</v>
      </c>
      <c r="C8" s="3">
        <v>5</v>
      </c>
      <c r="D8" s="3">
        <v>4</v>
      </c>
      <c r="E8" s="3">
        <v>3</v>
      </c>
      <c r="F8" s="3">
        <f>ROUND((SUM(C8:E8)/3)*2,0)</f>
        <v>8</v>
      </c>
      <c r="G8" s="4">
        <v>5</v>
      </c>
      <c r="H8" s="3">
        <v>10</v>
      </c>
      <c r="I8" s="3">
        <v>5</v>
      </c>
      <c r="J8">
        <v>4</v>
      </c>
      <c r="K8">
        <v>13</v>
      </c>
      <c r="L8">
        <v>0</v>
      </c>
      <c r="M8">
        <v>5</v>
      </c>
      <c r="N8">
        <v>22</v>
      </c>
      <c r="O8">
        <f>SUM(F8:N8)</f>
        <v>72</v>
      </c>
    </row>
    <row r="9" ht="20.100000000000001" customHeight="1">
      <c r="A9" s="3">
        <v>4855</v>
      </c>
      <c r="B9" s="3" t="s">
        <v>22</v>
      </c>
      <c r="C9" s="3">
        <v>5</v>
      </c>
      <c r="D9" s="3">
        <v>4</v>
      </c>
      <c r="E9" s="3">
        <v>3</v>
      </c>
      <c r="F9" s="3">
        <f>ROUND((SUM(C9:E9)/3)*2,0)</f>
        <v>8</v>
      </c>
      <c r="G9" s="4">
        <v>5</v>
      </c>
      <c r="H9" s="3">
        <v>10</v>
      </c>
      <c r="I9" s="3">
        <v>5</v>
      </c>
      <c r="J9">
        <v>5</v>
      </c>
      <c r="K9">
        <v>15</v>
      </c>
      <c r="L9">
        <v>15</v>
      </c>
      <c r="M9">
        <v>5</v>
      </c>
      <c r="N9">
        <v>29</v>
      </c>
      <c r="O9">
        <f>SUM(F9:N9)</f>
        <v>97</v>
      </c>
    </row>
    <row r="10" ht="20.100000000000001" customHeight="1">
      <c r="A10" s="3">
        <v>1671</v>
      </c>
      <c r="B10" s="3" t="s">
        <v>23</v>
      </c>
      <c r="C10" s="3">
        <v>5</v>
      </c>
      <c r="D10" s="3">
        <v>4</v>
      </c>
      <c r="E10" s="3">
        <v>3</v>
      </c>
      <c r="F10" s="3">
        <f>ROUND((SUM(C10:E10)/3)*2,0)</f>
        <v>8</v>
      </c>
      <c r="G10" s="4">
        <v>5</v>
      </c>
      <c r="H10" s="3">
        <v>10</v>
      </c>
      <c r="I10" s="3">
        <v>5</v>
      </c>
      <c r="J10">
        <v>5</v>
      </c>
      <c r="K10">
        <v>15</v>
      </c>
      <c r="L10">
        <v>15</v>
      </c>
      <c r="M10">
        <v>5</v>
      </c>
      <c r="N10">
        <v>30</v>
      </c>
      <c r="O10">
        <f>SUM(F10:N10)</f>
        <v>98</v>
      </c>
    </row>
    <row r="11" ht="20.100000000000001" customHeight="1">
      <c r="A11" s="3">
        <v>5512</v>
      </c>
      <c r="B11" s="3" t="s">
        <v>24</v>
      </c>
      <c r="C11" s="3">
        <v>5</v>
      </c>
      <c r="D11" s="3">
        <v>4</v>
      </c>
      <c r="E11" s="3">
        <v>3</v>
      </c>
      <c r="F11" s="3">
        <f>ROUND((SUM(C11:E11)/3)*2,0)</f>
        <v>8</v>
      </c>
      <c r="G11" s="4">
        <v>5</v>
      </c>
      <c r="H11" s="3">
        <v>10</v>
      </c>
      <c r="I11" s="3">
        <v>5</v>
      </c>
      <c r="J11">
        <v>5</v>
      </c>
      <c r="K11">
        <v>13</v>
      </c>
      <c r="L11">
        <v>0</v>
      </c>
      <c r="M11">
        <v>5</v>
      </c>
      <c r="N11">
        <v>20</v>
      </c>
      <c r="O11">
        <f>SUM(F11:N11)</f>
        <v>71</v>
      </c>
    </row>
    <row r="12" ht="20.100000000000001" customHeight="1">
      <c r="A12" s="3">
        <v>4803</v>
      </c>
      <c r="B12" s="3" t="s">
        <v>25</v>
      </c>
      <c r="C12" s="3">
        <v>5</v>
      </c>
      <c r="D12" s="3">
        <v>4</v>
      </c>
      <c r="E12" s="3">
        <v>3</v>
      </c>
      <c r="F12" s="3">
        <f>ROUND((SUM(C12:E12)/3)*2,0)</f>
        <v>8</v>
      </c>
      <c r="G12" s="4">
        <v>5</v>
      </c>
      <c r="H12" s="3">
        <v>10</v>
      </c>
      <c r="I12" s="3">
        <v>5</v>
      </c>
      <c r="J12">
        <v>4</v>
      </c>
      <c r="K12">
        <v>13</v>
      </c>
      <c r="L12">
        <v>13</v>
      </c>
      <c r="M12">
        <v>5</v>
      </c>
      <c r="N12">
        <v>22</v>
      </c>
      <c r="O12">
        <f>SUM(F12:N12)</f>
        <v>85</v>
      </c>
    </row>
    <row r="13" ht="20.100000000000001" customHeight="1">
      <c r="A13" s="3">
        <v>5355</v>
      </c>
      <c r="B13" s="3" t="s">
        <v>26</v>
      </c>
      <c r="C13" s="3">
        <v>5</v>
      </c>
      <c r="D13" s="3">
        <v>4</v>
      </c>
      <c r="E13" s="3">
        <v>3</v>
      </c>
      <c r="F13" s="3">
        <f>ROUND((SUM(C13:E13)/3)*2,0)</f>
        <v>8</v>
      </c>
      <c r="G13" s="4">
        <v>5</v>
      </c>
      <c r="H13" s="3">
        <v>10</v>
      </c>
      <c r="I13" s="3">
        <v>5</v>
      </c>
      <c r="J13">
        <v>4</v>
      </c>
      <c r="K13">
        <v>10</v>
      </c>
      <c r="L13">
        <v>14</v>
      </c>
      <c r="M13">
        <v>5</v>
      </c>
      <c r="N13">
        <v>19</v>
      </c>
      <c r="O13">
        <f>SUM(F13:N13)</f>
        <v>80</v>
      </c>
    </row>
    <row r="14" ht="20.100000000000001" customHeight="1">
      <c r="A14" s="3">
        <v>1025</v>
      </c>
      <c r="B14" s="3" t="s">
        <v>27</v>
      </c>
      <c r="C14" s="3">
        <v>5</v>
      </c>
      <c r="D14" s="3">
        <v>4</v>
      </c>
      <c r="E14" s="3">
        <v>3</v>
      </c>
      <c r="F14" s="3">
        <f>ROUND((SUM(C14:E14)/3)*2,0)</f>
        <v>8</v>
      </c>
      <c r="G14" s="4">
        <v>5</v>
      </c>
      <c r="H14" s="3">
        <v>10</v>
      </c>
      <c r="I14" s="3">
        <v>5</v>
      </c>
      <c r="J14">
        <v>4</v>
      </c>
      <c r="K14">
        <v>13</v>
      </c>
      <c r="L14">
        <v>0</v>
      </c>
      <c r="M14">
        <v>5</v>
      </c>
      <c r="N14">
        <v>25</v>
      </c>
      <c r="O14">
        <f>SUM(F14:N14)</f>
        <v>75</v>
      </c>
    </row>
    <row r="15" ht="20.100000000000001" customHeight="1">
      <c r="A15" s="3">
        <v>5282</v>
      </c>
      <c r="B15" s="3" t="s">
        <v>28</v>
      </c>
      <c r="C15" s="3">
        <v>5</v>
      </c>
      <c r="D15" s="3">
        <v>4</v>
      </c>
      <c r="E15" s="3">
        <v>3</v>
      </c>
      <c r="F15" s="3">
        <f>ROUND((SUM(C15:E15)/3)*2,0)</f>
        <v>8</v>
      </c>
      <c r="G15" s="4">
        <v>5</v>
      </c>
      <c r="H15" s="3">
        <v>10</v>
      </c>
      <c r="I15" s="3">
        <v>5</v>
      </c>
      <c r="J15">
        <v>5</v>
      </c>
      <c r="K15">
        <v>13</v>
      </c>
      <c r="L15">
        <v>15</v>
      </c>
      <c r="M15">
        <v>5</v>
      </c>
      <c r="N15">
        <v>30</v>
      </c>
      <c r="O15">
        <f>SUM(F15:N15)</f>
        <v>96</v>
      </c>
    </row>
    <row r="16" ht="20.100000000000001" customHeight="1">
      <c r="A16" s="3">
        <v>5475</v>
      </c>
      <c r="B16" s="3" t="s">
        <v>29</v>
      </c>
      <c r="C16" s="3">
        <v>5</v>
      </c>
      <c r="D16" s="3">
        <v>4</v>
      </c>
      <c r="E16" s="3">
        <v>3</v>
      </c>
      <c r="F16" s="3">
        <f>ROUND((SUM(C16:E16)/3)*2,0)</f>
        <v>8</v>
      </c>
      <c r="G16" s="4">
        <v>5</v>
      </c>
      <c r="H16" s="3">
        <v>10</v>
      </c>
      <c r="I16" s="3">
        <v>5</v>
      </c>
      <c r="J16">
        <v>5</v>
      </c>
      <c r="K16">
        <v>14</v>
      </c>
      <c r="L16">
        <v>12</v>
      </c>
      <c r="M16">
        <v>5</v>
      </c>
      <c r="N16">
        <v>27</v>
      </c>
      <c r="O16">
        <f>SUM(F16:N16)</f>
        <v>91</v>
      </c>
    </row>
    <row r="17" ht="20.100000000000001" customHeight="1">
      <c r="A17" s="3">
        <v>5577</v>
      </c>
      <c r="B17" s="3" t="s">
        <v>30</v>
      </c>
      <c r="C17" s="3">
        <v>5</v>
      </c>
      <c r="D17" s="3">
        <v>4</v>
      </c>
      <c r="E17" s="3">
        <v>3</v>
      </c>
      <c r="F17" s="3">
        <f>ROUND((SUM(C17:E17)/3)*2,0)</f>
        <v>8</v>
      </c>
      <c r="G17" s="4">
        <v>5</v>
      </c>
      <c r="H17" s="3">
        <v>10</v>
      </c>
      <c r="I17" s="3">
        <v>5</v>
      </c>
      <c r="J17">
        <v>5</v>
      </c>
      <c r="K17">
        <v>15</v>
      </c>
      <c r="L17">
        <v>13</v>
      </c>
      <c r="M17">
        <v>5</v>
      </c>
      <c r="N17">
        <v>30</v>
      </c>
      <c r="O17">
        <f>SUM(F17:N17)</f>
        <v>96</v>
      </c>
    </row>
    <row r="18" ht="20.100000000000001" customHeight="1">
      <c r="A18" s="3">
        <v>4549</v>
      </c>
      <c r="B18" s="3" t="s">
        <v>31</v>
      </c>
      <c r="C18" s="3">
        <v>5</v>
      </c>
      <c r="D18" s="3">
        <v>4</v>
      </c>
      <c r="E18" s="3">
        <v>3</v>
      </c>
      <c r="F18" s="3">
        <f>ROUND((SUM(C18:E18)/3)*2,0)</f>
        <v>8</v>
      </c>
      <c r="G18" s="4">
        <v>4</v>
      </c>
      <c r="H18" s="3">
        <v>10</v>
      </c>
      <c r="I18" s="3">
        <v>5</v>
      </c>
      <c r="J18">
        <v>5</v>
      </c>
      <c r="K18">
        <v>13</v>
      </c>
      <c r="L18">
        <v>14</v>
      </c>
      <c r="M18">
        <v>5</v>
      </c>
      <c r="N18">
        <v>27</v>
      </c>
      <c r="O18">
        <f>SUM(F18:N18)</f>
        <v>91</v>
      </c>
    </row>
    <row r="19" ht="20.100000000000001" customHeight="1">
      <c r="A19" s="3">
        <v>4735</v>
      </c>
      <c r="B19" s="3" t="s">
        <v>32</v>
      </c>
      <c r="C19" s="3">
        <v>5</v>
      </c>
      <c r="D19" s="3">
        <v>4</v>
      </c>
      <c r="E19" s="3">
        <v>3</v>
      </c>
      <c r="F19" s="3">
        <f>ROUND((SUM(C19:E19)/3)*2,0)</f>
        <v>8</v>
      </c>
      <c r="G19" s="4">
        <v>5</v>
      </c>
      <c r="H19" s="3">
        <v>10</v>
      </c>
      <c r="I19" s="3">
        <v>5</v>
      </c>
      <c r="J19">
        <v>4</v>
      </c>
      <c r="K19">
        <v>7</v>
      </c>
      <c r="L19">
        <v>13</v>
      </c>
      <c r="M19">
        <v>5</v>
      </c>
      <c r="N19">
        <v>28</v>
      </c>
      <c r="O19">
        <f>SUM(F19:N19)</f>
        <v>85</v>
      </c>
    </row>
    <row r="20" ht="20.100000000000001" customHeight="1">
      <c r="A20" s="3">
        <v>5105</v>
      </c>
      <c r="B20" s="3" t="s">
        <v>33</v>
      </c>
      <c r="C20" s="3">
        <v>5</v>
      </c>
      <c r="D20" s="3">
        <v>4</v>
      </c>
      <c r="E20" s="3">
        <v>3</v>
      </c>
      <c r="F20" s="3">
        <f>ROUND((SUM(C20:E20)/3)*2,0)</f>
        <v>8</v>
      </c>
      <c r="G20" s="4">
        <v>5</v>
      </c>
      <c r="H20" s="3">
        <v>10</v>
      </c>
      <c r="I20" s="3">
        <v>5</v>
      </c>
      <c r="J20">
        <v>5</v>
      </c>
      <c r="K20">
        <v>15</v>
      </c>
      <c r="L20">
        <v>15</v>
      </c>
      <c r="M20">
        <v>5</v>
      </c>
      <c r="N20">
        <v>29</v>
      </c>
      <c r="O20">
        <f>SUM(F20:N20)</f>
        <v>97</v>
      </c>
    </row>
    <row r="21" ht="20.100000000000001" customHeight="1">
      <c r="A21" s="3">
        <v>5244</v>
      </c>
      <c r="B21" s="3" t="s">
        <v>34</v>
      </c>
      <c r="C21" s="3">
        <v>5</v>
      </c>
      <c r="D21" s="3">
        <v>4</v>
      </c>
      <c r="E21" s="3">
        <v>3</v>
      </c>
      <c r="F21" s="3">
        <f>ROUND((SUM(C21:E21)/3)*2,0)</f>
        <v>8</v>
      </c>
      <c r="G21" s="4">
        <v>5</v>
      </c>
      <c r="H21" s="3">
        <v>10</v>
      </c>
      <c r="I21" s="3">
        <v>5</v>
      </c>
      <c r="J21">
        <v>5</v>
      </c>
      <c r="K21">
        <v>15</v>
      </c>
      <c r="L21">
        <v>15</v>
      </c>
      <c r="M21">
        <v>5</v>
      </c>
      <c r="N21">
        <v>29</v>
      </c>
      <c r="O21">
        <f>SUM(F21:N21)</f>
        <v>97</v>
      </c>
    </row>
    <row r="22" ht="20.100000000000001" customHeight="1">
      <c r="A22" s="3">
        <v>4866</v>
      </c>
      <c r="B22" s="3" t="s">
        <v>35</v>
      </c>
      <c r="C22" s="3">
        <v>5</v>
      </c>
      <c r="D22" s="3">
        <v>4</v>
      </c>
      <c r="E22" s="3">
        <v>3</v>
      </c>
      <c r="F22" s="3">
        <f>ROUND((SUM(C22:E22)/3)*2,0)</f>
        <v>8</v>
      </c>
      <c r="G22" s="4">
        <v>5</v>
      </c>
      <c r="H22" s="3">
        <v>10</v>
      </c>
      <c r="I22" s="3">
        <v>5</v>
      </c>
      <c r="J22">
        <v>5</v>
      </c>
      <c r="K22">
        <v>13</v>
      </c>
      <c r="L22">
        <v>0</v>
      </c>
      <c r="M22">
        <v>5</v>
      </c>
      <c r="N22">
        <v>27</v>
      </c>
      <c r="O22">
        <f>SUM(F22:N22)</f>
        <v>78</v>
      </c>
    </row>
    <row r="23" ht="20.100000000000001" customHeight="1">
      <c r="A23" s="3">
        <v>4921</v>
      </c>
      <c r="B23" s="3" t="s">
        <v>36</v>
      </c>
      <c r="C23" s="3">
        <v>5</v>
      </c>
      <c r="D23" s="3">
        <v>4</v>
      </c>
      <c r="E23" s="3">
        <v>3</v>
      </c>
      <c r="F23" s="3">
        <f>ROUND((SUM(C23:E23)/3)*2,0)</f>
        <v>8</v>
      </c>
      <c r="G23" s="4">
        <v>5</v>
      </c>
      <c r="H23" s="3">
        <v>10</v>
      </c>
      <c r="I23" s="3">
        <v>5</v>
      </c>
      <c r="J23">
        <v>5</v>
      </c>
      <c r="K23">
        <v>12</v>
      </c>
      <c r="L23">
        <v>13</v>
      </c>
      <c r="M23">
        <v>5</v>
      </c>
      <c r="N23">
        <v>22</v>
      </c>
      <c r="O23">
        <f>SUM(F23:N23)</f>
        <v>85</v>
      </c>
    </row>
    <row r="24" ht="20.100000000000001" customHeight="1">
      <c r="A24" s="3">
        <v>1672</v>
      </c>
      <c r="B24" s="3" t="s">
        <v>37</v>
      </c>
      <c r="C24" s="3">
        <v>5</v>
      </c>
      <c r="D24" s="3">
        <v>4</v>
      </c>
      <c r="E24" s="3">
        <v>3</v>
      </c>
      <c r="F24" s="3">
        <f>ROUND((SUM(C24:E24)/3)*2,0)</f>
        <v>8</v>
      </c>
      <c r="G24" s="4">
        <v>5</v>
      </c>
      <c r="H24" s="3">
        <v>10</v>
      </c>
      <c r="I24" s="3">
        <v>5</v>
      </c>
      <c r="J24">
        <v>5</v>
      </c>
      <c r="K24">
        <v>15</v>
      </c>
      <c r="L24">
        <v>15</v>
      </c>
      <c r="M24">
        <v>5</v>
      </c>
      <c r="N24">
        <v>28</v>
      </c>
      <c r="O24">
        <f>SUM(F24:N24)</f>
        <v>96</v>
      </c>
    </row>
    <row r="25" ht="20.100000000000001" customHeight="1">
      <c r="A25" s="3">
        <v>4910</v>
      </c>
      <c r="B25" s="3" t="s">
        <v>38</v>
      </c>
      <c r="C25" s="3">
        <v>5</v>
      </c>
      <c r="D25" s="3">
        <v>4</v>
      </c>
      <c r="E25" s="3">
        <v>3</v>
      </c>
      <c r="F25" s="3">
        <f>ROUND((SUM(C25:E25)/3)*2,0)</f>
        <v>8</v>
      </c>
      <c r="G25" s="4">
        <v>5</v>
      </c>
      <c r="H25" s="3">
        <v>10</v>
      </c>
      <c r="I25" s="3">
        <v>5</v>
      </c>
      <c r="J25">
        <v>5</v>
      </c>
      <c r="K25">
        <v>13</v>
      </c>
      <c r="L25">
        <v>0</v>
      </c>
      <c r="M25">
        <v>5</v>
      </c>
      <c r="N25">
        <v>27</v>
      </c>
      <c r="O25">
        <f>SUM(F25:N25)</f>
        <v>78</v>
      </c>
    </row>
    <row r="26" ht="20.100000000000001" customHeight="1">
      <c r="A26" s="3">
        <v>2904</v>
      </c>
      <c r="B26" s="3" t="s">
        <v>39</v>
      </c>
      <c r="C26" s="3">
        <v>5</v>
      </c>
      <c r="D26" s="3">
        <v>4</v>
      </c>
      <c r="E26" s="3">
        <v>3</v>
      </c>
      <c r="F26" s="3">
        <f>ROUND((SUM(C26:E26)/3)*2,0)</f>
        <v>8</v>
      </c>
      <c r="G26" s="4">
        <v>5</v>
      </c>
      <c r="H26" s="3">
        <v>10</v>
      </c>
      <c r="I26" s="3">
        <v>5</v>
      </c>
      <c r="J26">
        <v>5</v>
      </c>
      <c r="K26">
        <v>12</v>
      </c>
      <c r="L26">
        <v>0</v>
      </c>
      <c r="M26">
        <v>5</v>
      </c>
      <c r="N26">
        <v>27</v>
      </c>
      <c r="O26">
        <f>SUM(F26:N26)</f>
        <v>77</v>
      </c>
    </row>
    <row r="27" ht="20.100000000000001" customHeight="1">
      <c r="A27" s="3">
        <v>1176</v>
      </c>
      <c r="B27" s="3" t="s">
        <v>40</v>
      </c>
      <c r="C27" s="3">
        <v>5</v>
      </c>
      <c r="D27" s="3">
        <v>4</v>
      </c>
      <c r="E27" s="3">
        <v>3</v>
      </c>
      <c r="F27" s="3">
        <f>ROUND((SUM(C27:E27)/3)*2,0)</f>
        <v>8</v>
      </c>
      <c r="G27" s="4">
        <v>5</v>
      </c>
      <c r="H27" s="3">
        <v>10</v>
      </c>
      <c r="I27" s="3">
        <v>5</v>
      </c>
      <c r="J27">
        <v>4</v>
      </c>
      <c r="K27">
        <v>12</v>
      </c>
      <c r="L27">
        <v>13</v>
      </c>
      <c r="M27">
        <v>5</v>
      </c>
      <c r="N27">
        <v>22</v>
      </c>
      <c r="O27">
        <f>SUM(F27:N27)</f>
        <v>84</v>
      </c>
    </row>
    <row r="28" ht="20.100000000000001" customHeight="1">
      <c r="A28" s="3">
        <v>5565</v>
      </c>
      <c r="B28" s="3" t="s">
        <v>41</v>
      </c>
      <c r="C28" s="3">
        <v>5</v>
      </c>
      <c r="D28" s="3">
        <v>4</v>
      </c>
      <c r="E28" s="3">
        <v>3</v>
      </c>
      <c r="F28" s="3">
        <f>ROUND((SUM(C28:E28)/3)*2,0)</f>
        <v>8</v>
      </c>
      <c r="G28" s="4">
        <v>4</v>
      </c>
      <c r="H28" s="3">
        <v>10</v>
      </c>
      <c r="I28" s="3">
        <v>5</v>
      </c>
      <c r="J28">
        <v>3</v>
      </c>
      <c r="K28">
        <v>8</v>
      </c>
      <c r="L28">
        <v>13</v>
      </c>
      <c r="M28">
        <v>5</v>
      </c>
      <c r="N28">
        <v>18</v>
      </c>
      <c r="O28">
        <f>SUM(F28:N28)</f>
        <v>74</v>
      </c>
    </row>
    <row r="29" ht="20.100000000000001" customHeight="1">
      <c r="A29" s="3">
        <v>5191</v>
      </c>
      <c r="B29" s="3" t="s">
        <v>42</v>
      </c>
      <c r="C29" s="3">
        <v>5</v>
      </c>
      <c r="D29" s="3">
        <v>4</v>
      </c>
      <c r="E29" s="3">
        <v>3</v>
      </c>
      <c r="F29" s="3">
        <f>ROUND((SUM(C29:E29)/3)*2,0)</f>
        <v>8</v>
      </c>
      <c r="G29" s="4">
        <v>5</v>
      </c>
      <c r="H29" s="3">
        <v>10</v>
      </c>
      <c r="I29" s="3">
        <v>5</v>
      </c>
      <c r="J29">
        <v>5</v>
      </c>
      <c r="K29">
        <v>15</v>
      </c>
      <c r="L29">
        <v>15</v>
      </c>
      <c r="M29">
        <v>5</v>
      </c>
      <c r="N29">
        <v>30</v>
      </c>
      <c r="O29">
        <f>SUM(F29:N29)</f>
        <v>98</v>
      </c>
    </row>
    <row r="30" ht="20.100000000000001" customHeight="1">
      <c r="A30" s="3">
        <v>4740</v>
      </c>
      <c r="B30" s="3" t="s">
        <v>43</v>
      </c>
      <c r="C30" s="3">
        <v>5</v>
      </c>
      <c r="D30" s="3">
        <v>4</v>
      </c>
      <c r="E30" s="3">
        <v>3</v>
      </c>
      <c r="F30" s="3">
        <f>ROUND((SUM(C30:E30)/3)*2,0)</f>
        <v>8</v>
      </c>
      <c r="G30" s="4">
        <v>0</v>
      </c>
      <c r="H30" s="3">
        <v>0</v>
      </c>
      <c r="I30" s="3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f>SUM(F30:N30)</f>
        <v>8</v>
      </c>
    </row>
    <row r="31" ht="20.100000000000001" customHeight="1">
      <c r="A31" s="3">
        <v>5249</v>
      </c>
      <c r="B31" s="3" t="s">
        <v>44</v>
      </c>
      <c r="C31" s="3">
        <v>5</v>
      </c>
      <c r="D31" s="3">
        <v>4</v>
      </c>
      <c r="E31" s="3">
        <v>5</v>
      </c>
      <c r="F31" s="3">
        <f>ROUND((SUM(C31:E31)/3)*2,0)</f>
        <v>9</v>
      </c>
      <c r="G31" s="4">
        <v>5</v>
      </c>
      <c r="H31" s="3">
        <v>10</v>
      </c>
      <c r="I31" s="3">
        <v>5</v>
      </c>
      <c r="J31">
        <v>5</v>
      </c>
      <c r="K31">
        <v>13</v>
      </c>
      <c r="L31">
        <v>14</v>
      </c>
      <c r="M31">
        <v>5</v>
      </c>
      <c r="N31">
        <v>30</v>
      </c>
      <c r="O31">
        <f>SUM(F31:N31)</f>
        <v>96</v>
      </c>
    </row>
  </sheetData>
  <sortState ref="O:O" columnSort="0">
    <sortCondition sortBy="value" descending="0" ref="O:O"/>
  </sortState>
  <printOptions headings="0" gridLines="0"/>
  <pageMargins left="0.69999999999999996" right="0.69999999999999996" top="0.75" bottom="0.75" header="0.29999999999999999" footer="0.29999999999999999"/>
  <pageSetup paperSize="9" scale="59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</cp:revision>
  <dcterms:created xsi:type="dcterms:W3CDTF">2026-07-13T18:22:22Z</dcterms:created>
  <dcterms:modified xsi:type="dcterms:W3CDTF">2026-07-22T22:53:24Z</dcterms:modified>
</cp:coreProperties>
</file>